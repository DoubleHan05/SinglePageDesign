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2513A9C273540939D6ACB138436377C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245360" y="863600"/>
          <a:ext cx="9956800" cy="5613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6D88D667851642A68ADFF563B689D42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245360" y="3178175"/>
          <a:ext cx="9956800" cy="5613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034563A81D7349AEBBCF390E8A05AE5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245360" y="5492750"/>
          <a:ext cx="9956800" cy="5613400"/>
        </a:xfrm>
        <a:prstGeom prst="rect">
          <a:avLst/>
        </a:prstGeom>
        <a:noFill/>
        <a:ln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系统</author>
  </authors>
  <commentList>
    <comment ref="A3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5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6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<sst xmlns="http://schemas.openxmlformats.org/spreadsheetml/2006/main" count="119" uniqueCount="92">
  <si>
    <t>参数名</t>
  </si>
  <si>
    <t>参数值</t>
  </si>
  <si>
    <t/>
  </si>
  <si>
    <t>型号</t>
  </si>
  <si>
    <t>E41W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</si>
  <si>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</si>
  <si>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</si>
  <si>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</si>
  <si>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</si>
  <si>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</si>
  <si>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</si>
  <si>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</si>
  <si>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</si>
  <si>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</si>
  <si>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</si>
  <si>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</si>
  <si>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</si>
  <si>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</si>
  <si>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</si>
  <si>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</si>
  <si>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</si>
  <si>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</si>
  <si>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</si>
  <si>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</si>
  <si>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</si>
  <si>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</si>
  <si>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</si>
  <si>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</si>
  <si>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</si>
  <si>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</si>
  <si>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</si>
  <si>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</si>
  <si>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</si>
  <si>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</si>
  <si>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</si>
  <si>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</si>
  <si>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</si>
  <si>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</si>
  <si>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</si>
  <si>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</si>
  <si>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</si>
  <si>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</si>
  <si>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</si>
  <si>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</si>
  <si>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</si>
  <si>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</si>
  <si>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</si>
  <si>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</si>
  <si>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</si>
  <si>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</si>
  <si>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</si>
  <si>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</si>
  <si>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</si>
  <si>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</si>
  <si>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</si>
  <si>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</si>
  <si>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</si>
  <si>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</si>
  <si>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</si>
  <si>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</si>
  <si>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</si>
  <si>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</si>
  <si>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</si>
  <si>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</si>
  <si>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</si>
  <si>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</si>
  <si>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</si>
  <si>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</si>
  <si>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</si>
  <si>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</si>
  <si>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</si>
  <si>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</si>
  <si>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</si>
  <si>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</si>
  <si>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</si>
  <si>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</si>
  <si>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</si>
  <si>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</si>
  <si>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</si>
  <si>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</si>
  <si>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</si>
  <si>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</si>
  <si>
    <t>使用说明</t>
  </si>
  <si>
    <t>1. 本表格用于生成产品单页。第 1 列为参数名（不要改），第 2 列填写参数值。</t>
  </si>
  <si>
    <t>2. 图片可以直接在 B 列单元格插入（推荐），也可以填图片文件路径。</t>
  </si>
  <si>
    <t>3. 产品特点、细节图、场景、参数都支持任意数量：</t>
  </si>
  <si>
    <t xml:space="preserve">   · 特点1、特点2、特点3...  想写几条加几行</t>
  </si>
  <si>
    <t xml:space="preserve">   · 细节图1、细节图2...    支持多张</t>
  </si>
  <si>
    <t xml:space="preserve">   · 场景1、场景2、场景3...  格式为 '仓|仓储'（竖线前=圆圈内文字，竖线后=下方标签）</t>
  </si>
  <si>
    <t xml:space="preserve">   · 以 '参数.' 开头的任意行都会出现在右侧参数表</t>
  </si>
  <si>
    <t>4. 值留空的参数在页面上会显示 '/'。</t>
  </si>
  <si>
    <t>5. 保存后在工具网页上拖入这个 Excel 即可预览并下载图片。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</si>
</sst>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3.jpeg"/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topLeftCell="A3" workbookViewId="0">
      <selection activeCell="B7" sqref="B7"/>
    </sheetView>
  </sheetViews>
  <sheetFormatPr defaultColWidth="9" defaultRowHeight="16.8" outlineLevelCol="1"/>
  <cols>
    <col min="1" max="1" width="34" customWidth="1"/>
    <col min="2" max="2" width="62" customWidth="1"/>
  </cols>
  <sheetData>
    <row r="1" ht="17.6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t="s">
        <v>3</v>
      </c>
      <c r="B3" t="s">
        <v>4</v>
      </c>
    </row>
    <row r="4" spans="1:2">
      <c r="A4" s="2"/>
      <c r="B4" s="3" t="s">
        <v>2</v>
      </c>
    </row>
    <row r="5" ht="182.25" spans="1:2">
      <c r="A5" t="s">
        <v>5</v>
      </c>
      <c r="B5" t="str">
        <f>_xlfn.DISPIMG("ID_12513A9C273540939D6ACB138436377C",1)</f>
        <v>=DISPIMG("ID_12513A9C273540939D6ACB138436377C",1)</v>
      </c>
    </row>
    <row r="6" ht="182.25" spans="1:2">
      <c r="A6" t="s">
        <v>6</v>
      </c>
      <c r="B6" t="str">
        <f>_xlfn.DISPIMG("ID_6D88D667851642A68ADFF563B689D429",1)</f>
        <v>=DISPIMG("ID_6D88D667851642A68ADFF563B689D429",1)</v>
      </c>
    </row>
    <row r="7" ht="182.25" spans="1:2">
      <c r="A7" t="s">
        <v>7</v>
      </c>
      <c r="B7" t="str">
        <f>_xlfn.DISPIMG("ID_034563A81D7349AEBBCF390E8A05AE56",1)</f>
        <v>=DISPIMG("ID_034563A81D7349AEBBCF390E8A05AE56",1)</v>
      </c>
    </row>
    <row r="8" spans="1:2">
      <c r="A8" s="2"/>
      <c r="B8" s="3" t="s">
        <v>2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s="2"/>
      <c r="B13" s="3" t="s">
        <v>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s="2"/>
      <c r="B17" s="3" t="s">
        <v>2</v>
      </c>
    </row>
    <row r="18" spans="1:2">
      <c r="A18" t="s">
        <v>22</v>
      </c>
      <c r="B18" t="s">
        <v>2</v>
      </c>
    </row>
    <row r="19" spans="1:2">
      <c r="A19" t="s">
        <v>23</v>
      </c>
      <c r="B19" t="s">
        <v>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</v>
      </c>
    </row>
    <row r="24" spans="1:2">
      <c r="A24" t="s">
        <v>31</v>
      </c>
      <c r="B24" t="s">
        <v>2</v>
      </c>
    </row>
    <row r="25" spans="1:2">
      <c r="A25" t="s">
        <v>32</v>
      </c>
      <c r="B25" t="s">
        <v>2</v>
      </c>
    </row>
    <row r="26" spans="1:2">
      <c r="A26" t="s">
        <v>33</v>
      </c>
      <c r="B26" t="s">
        <v>2</v>
      </c>
    </row>
    <row r="27" spans="1:2">
      <c r="A27" t="s">
        <v>34</v>
      </c>
      <c r="B27" t="s">
        <v>2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44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2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57</v>
      </c>
    </row>
    <row r="40" spans="1:2">
      <c r="A40" t="s">
        <v>58</v>
      </c>
      <c r="B40" t="s">
        <v>57</v>
      </c>
    </row>
    <row r="41" spans="1:2">
      <c r="A41" t="s">
        <v>59</v>
      </c>
      <c r="B41" t="s">
        <v>2</v>
      </c>
    </row>
    <row r="42" spans="1:2">
      <c r="A42" t="s">
        <v>60</v>
      </c>
      <c r="B42" t="s">
        <v>2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2</v>
      </c>
    </row>
    <row r="45" spans="1:2">
      <c r="A45" t="s">
        <v>64</v>
      </c>
      <c r="B45" t="s">
        <v>2</v>
      </c>
    </row>
    <row r="46" spans="1:2">
      <c r="A46" t="s">
        <v>65</v>
      </c>
      <c r="B46" t="s">
        <v>2</v>
      </c>
    </row>
    <row r="47" spans="1:2">
      <c r="A47" t="s">
        <v>66</v>
      </c>
      <c r="B47" t="s">
        <v>2</v>
      </c>
    </row>
    <row r="48" spans="1:2">
      <c r="A48" t="s">
        <v>67</v>
      </c>
      <c r="B48" t="s">
        <v>2</v>
      </c>
    </row>
    <row r="49" spans="1:2">
      <c r="A49" t="s">
        <v>68</v>
      </c>
      <c r="B49" t="s">
        <v>2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44</v>
      </c>
    </row>
    <row r="53" spans="1:2">
      <c r="A53" t="s">
        <v>74</v>
      </c>
      <c r="B53" t="s">
        <v>44</v>
      </c>
    </row>
    <row r="54" spans="1:2">
      <c r="A54" t="s">
        <v>75</v>
      </c>
      <c r="B54" t="s">
        <v>2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</v>
      </c>
    </row>
    <row r="57" spans="1:2">
      <c r="A57" t="s">
        <v>79</v>
      </c>
      <c r="B57" t="s">
        <v>2</v>
      </c>
    </row>
    <row r="58" spans="1:2">
      <c r="A58" t="s">
        <v>80</v>
      </c>
      <c r="B58" t="s">
        <v>81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82</v>
      </c>
    </row>
    <row r="2" spans="1:1">
      <c r="A2" t="s">
        <v>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2026-07-23T15:33:00Z</dcterms:created>
  <dcterms:modified xsi:type="dcterms:W3CDTF">2026-07-24T16:01:15Z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54AC8C9F0014D6F9CB1B636A63AE1B64_42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